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<sst xmlns="http://schemas.openxmlformats.org/spreadsheetml/2006/main" count="133" uniqueCount="133">
  <si>
    <t>Calcul</t>
  </si>
  <si>
    <t>Version</t>
  </si>
  <si>
    <t>Megatrends</t>
  </si>
  <si>
    <t>Manifestations</t>
  </si>
  <si>
    <t>Indicators</t>
  </si>
  <si>
    <t>Calculation</t>
  </si>
  <si>
    <t>Source</t>
  </si>
  <si>
    <t>Indicator</t>
  </si>
  <si>
    <t>Unit</t>
  </si>
  <si>
    <t>URL</t>
  </si>
  <si>
    <t xml:space="preserve">Downloaded file</t>
  </si>
  <si>
    <t>Year(s)</t>
  </si>
  <si>
    <t xml:space="preserve">Spatial resolution</t>
  </si>
  <si>
    <t>Métadonnées</t>
  </si>
  <si>
    <t>Paul</t>
  </si>
  <si>
    <t>V1</t>
  </si>
  <si>
    <t xml:space="preserve">Political stringency</t>
  </si>
  <si>
    <t xml:space="preserve">CAP subsidies </t>
  </si>
  <si>
    <t xml:space="preserve">% area dedicated to different measures (AES, organic farming, HVE)</t>
  </si>
  <si>
    <t xml:space="preserve">PAUL
AES, HVE, bio</t>
  </si>
  <si>
    <t>PS01_GREEN_AREA</t>
  </si>
  <si>
    <t>%</t>
  </si>
  <si>
    <t>questions</t>
  </si>
  <si>
    <t xml:space="preserve">amount of allocations received for greening practices</t>
  </si>
  <si>
    <r>
      <rPr>
        <sz val="10"/>
        <rFont val="Arial"/>
      </rPr>
      <t xml:space="preserve">Total subsidies paid for greening per municipality (including 'II.4 – Support for practices respecting greening', 'IV/15 – Agri-environment-climate support', 'IV/16 – Organic farming aid', 'IV/17 – Natura 2000 and Water Directive support')"
</t>
    </r>
    <r>
      <rPr>
        <sz val="10"/>
        <color indexed="2"/>
        <rFont val="Arial"/>
      </rPr>
      <t xml:space="preserve">how to standardize per municipality farming activities?</t>
    </r>
  </si>
  <si>
    <t xml:space="preserve">Ministère de l'Agriculture et de l'Alimentation</t>
  </si>
  <si>
    <t>PS02_GREEN_SUBS</t>
  </si>
  <si>
    <t>EUR</t>
  </si>
  <si>
    <t>https://www.telepac.agriculture.gouv.fr/telepac/tbp/accueil/accueil.action</t>
  </si>
  <si>
    <t>Liste_beneficiaires_PAC_XX.csv</t>
  </si>
  <si>
    <t xml:space="preserve">2021-2022 (from Deborah) 
2022-2023 and 2023-2024 from telepac</t>
  </si>
  <si>
    <t>Commune</t>
  </si>
  <si>
    <t>https://www.telepac.agriculture.gouv.fr/telepac/tbp/doc/Publication-beneficiaires-2023_notice-mesures.pdf</t>
  </si>
  <si>
    <t xml:space="preserve">GHG emissions reduction</t>
  </si>
  <si>
    <t xml:space="preserve">% area dedicated to measures targeting climate regulation</t>
  </si>
  <si>
    <t xml:space="preserve">PAUL
AES, HVE, bio + haies, prairies, forêts
build on indicator 1?</t>
  </si>
  <si>
    <t>PS03_CLIMATE_AREA</t>
  </si>
  <si>
    <t xml:space="preserve">a tester</t>
  </si>
  <si>
    <t xml:space="preserve">% grassland</t>
  </si>
  <si>
    <r>
      <rPr>
        <sz val="10"/>
        <color theme="8" tint="0"/>
        <rFont val="Arial"/>
      </rPr>
      <t xml:space="preserve">P_GRA → % of grassland relative to the total area of the municipality (standardized by municipality size)</t>
    </r>
    <r>
      <rPr>
        <sz val="10"/>
        <rFont val="Arial"/>
      </rPr>
      <t xml:space="preserve">
P_GRA_CROP → % of grassland relative to the total agricultural area (standardized by agricultural area)</t>
    </r>
  </si>
  <si>
    <t xml:space="preserve">IGN RPG</t>
  </si>
  <si>
    <t>PS04_GRASS_AREA</t>
  </si>
  <si>
    <t>https://geoservices.ign.fr/rpg</t>
  </si>
  <si>
    <t>IGNF_RPG_2-1</t>
  </si>
  <si>
    <t xml:space="preserve">2007 to 2023</t>
  </si>
  <si>
    <t>Field</t>
  </si>
  <si>
    <t>https://geoservices.ign.fr/sites/default/files/2023-11/IGNF_RPG_2-1.html</t>
  </si>
  <si>
    <t xml:space="preserve">to be defined</t>
  </si>
  <si>
    <t xml:space="preserve">% forest</t>
  </si>
  <si>
    <r>
      <rPr>
        <sz val="10"/>
        <rFont val="Arial"/>
      </rPr>
      <t xml:space="preserve">P_FOR→ % of forest relative to the total area of the municipality (standardized by municipality size)
</t>
    </r>
    <r>
      <rPr>
        <sz val="10"/>
        <color indexed="2"/>
        <rFont val="Arial"/>
      </rPr>
      <t xml:space="preserve">too correlated with land cover?</t>
    </r>
  </si>
  <si>
    <t xml:space="preserve">IGN BD FORET
BD TOPO? OSO?</t>
  </si>
  <si>
    <t>PS05_FOREST_AREA</t>
  </si>
  <si>
    <t>https://geoservices.ign.fr/bdforet</t>
  </si>
  <si>
    <t>BD_FORET_2</t>
  </si>
  <si>
    <t>Plot</t>
  </si>
  <si>
    <t>Agroforestry</t>
  </si>
  <si>
    <t>PAUL</t>
  </si>
  <si>
    <t>PS06_AGROFST_AREA</t>
  </si>
  <si>
    <t>Farm</t>
  </si>
  <si>
    <t>V2</t>
  </si>
  <si>
    <t xml:space="preserve">Area dedicated to environmental certification (HVE)</t>
  </si>
  <si>
    <r>
      <rPr>
        <sz val="10"/>
        <rFont val="Arial"/>
      </rPr>
      <t xml:space="preserve">Number of HVE by municipality
</t>
    </r>
    <r>
      <rPr>
        <sz val="10"/>
        <color indexed="2"/>
        <rFont val="Arial"/>
      </rPr>
      <t xml:space="preserve">how to standardize per municipality size?</t>
    </r>
  </si>
  <si>
    <t>PS07_NB_HVE</t>
  </si>
  <si>
    <t>/</t>
  </si>
  <si>
    <t>https://www.data.gouv.fr/fr/datasets/annuaire-des-exploitations-certifiees-haute-valeur-environnementale/</t>
  </si>
  <si>
    <t xml:space="preserve">Annuaire des exploitations HVE_Juillet 2024</t>
  </si>
  <si>
    <t xml:space="preserve">2024 (from Deborah)
2025 (online)</t>
  </si>
  <si>
    <t xml:space="preserve">% organic farming</t>
  </si>
  <si>
    <t xml:space="preserve">P_ORG → % of organic crop relative to the total area of the municipality (standardized by municipality size)
P_ORG_CROP → % of organic crop relative to the total agricultural area (standardized by agricultural area)</t>
  </si>
  <si>
    <r>
      <rPr>
        <sz val="10"/>
        <rFont val="Arial"/>
      </rPr>
      <t xml:space="preserve">Agence Bio
</t>
    </r>
    <r>
      <rPr>
        <sz val="10"/>
        <color theme="8" tint="0"/>
        <rFont val="Arial"/>
      </rPr>
      <t xml:space="preserve">Cartobio (already processed)</t>
    </r>
  </si>
  <si>
    <t>PS08_ORG_AREA</t>
  </si>
  <si>
    <t>https://www.data.gouv.fr/fr/datasets/parcelles-en-agriculture-biologique-ab-declarees-a-la-pac/</t>
  </si>
  <si>
    <t xml:space="preserve">2019 - 2022</t>
  </si>
  <si>
    <t xml:space="preserve">% fallow land</t>
  </si>
  <si>
    <r>
      <rPr>
        <sz val="10"/>
        <color theme="8" tint="0"/>
        <rFont val="Arial"/>
      </rPr>
      <t xml:space="preserve">P_FAL→ % of fallow relative to the total area of the municipality (standardized by municipality size)</t>
    </r>
    <r>
      <rPr>
        <sz val="10"/>
        <rFont val="Arial"/>
      </rPr>
      <t xml:space="preserve">
P_FAL_CROP → % of fallow relative to the total agricultural area (standardized by agricultural area)
</t>
    </r>
    <r>
      <rPr>
        <sz val="10"/>
        <color indexed="2"/>
        <rFont val="Arial"/>
      </rPr>
      <t xml:space="preserve">how to define fallow land cover in RPG?</t>
    </r>
  </si>
  <si>
    <t>PS09_FALLOW_AREA</t>
  </si>
  <si>
    <t xml:space="preserve">Fertilizer use reduction</t>
  </si>
  <si>
    <t xml:space="preserve">% area dedicated to measures targeting fertiliser use reduction</t>
  </si>
  <si>
    <t xml:space="preserve">légumineuses (pas d'apport d'azote nécessaire); présence de légumineuses dans les rotations culturales; surfaces cultivées en bio, RNN, MAEC, rammsar, BCAE 4 - Bandes tampons des cours d'eau (5m)</t>
  </si>
  <si>
    <t xml:space="preserve">Fertilizer sales</t>
  </si>
  <si>
    <t xml:space="preserve">On a pas</t>
  </si>
  <si>
    <t xml:space="preserve">Nitrate levels at water intake points</t>
  </si>
  <si>
    <t xml:space="preserve">ND_GW_2024 →  Average nitrate concentrations (mg/L) in groundwater in 2024
ND_SW_2024 → Average nitrate concentrations (mg/L)  in surface waters in 2024
interpolation (IDW) of nitrate measurements from groundwater monitoring stations</t>
  </si>
  <si>
    <t>Eaufrance</t>
  </si>
  <si>
    <t xml:space="preserve">ND_GW_2024; ND_SW_2024</t>
  </si>
  <si>
    <r>
      <rPr>
        <u val="single"/>
        <sz val="10"/>
        <rFont val="Arial"/>
      </rPr>
      <t>https://rapportage.eaufrance.fr/nitrates/2024</t>
    </r>
    <r>
      <rPr>
        <sz val="10"/>
        <rFont val="Arial"/>
      </rPr>
      <t xml:space="preserve"> </t>
    </r>
    <r>
      <rPr>
        <u val="single"/>
        <sz val="10"/>
        <color rgb="FF1155CC"/>
        <rFont val="Arial"/>
      </rPr>
      <t>https://bdlisa.eaufrance.fr/telechargement</t>
    </r>
  </si>
  <si>
    <t>NID_France_2024_Data</t>
  </si>
  <si>
    <t xml:space="preserve">2008, 2012, 2016, 2020, 2024</t>
  </si>
  <si>
    <t>Station</t>
  </si>
  <si>
    <t xml:space="preserve">Crop type</t>
  </si>
  <si>
    <t xml:space="preserve">Dominant crop by municipality in term of surface area</t>
  </si>
  <si>
    <t>PS13_CROP_TYPE</t>
  </si>
  <si>
    <t xml:space="preserve">Pesticide use reduction</t>
  </si>
  <si>
    <t xml:space="preserve">Pesticide sales</t>
  </si>
  <si>
    <t xml:space="preserve">PEST_tot → Quantity of active substance (in kg) per municipality in 2020 (Lungarska, Anna; Poméon, Thomas; Lision, Olivier; Ramalanjaona, Lovasoa; Cantelaube, Pierre; Lardot, Benjamin, 2024, "Extraction à la commune des données de la BNV-D spatialisée 2015 - 2020 (csv)", https://doi.org/10.57745/PCUA3B, Recherche Data Gouv, V1)
PEST_EVO → Change in active substance use (kg) between 2015 and 2020 per municipality</t>
  </si>
  <si>
    <t xml:space="preserve">Lungarska, Anna; Poméon, Thomas; Lision, Olivier; Ramalanjaona, Lovasoa; Cantelaube, Pierre; Lardot, Benjamin, 2024, "Extraction à la commune des données de la BNV-D spatialisée 2015 - 2020 (csv)", https://doi.org/10.57745/PCUA3B, Recherche Data Gouv, V1</t>
  </si>
  <si>
    <t xml:space="preserve">PEST_tot, PEST_EVO</t>
  </si>
  <si>
    <t>kg</t>
  </si>
  <si>
    <t xml:space="preserve">https://www.data.gouv.fr/fr/datasets/achats-de-pesticides-par-code-postal/
https://entrepot.recherche.data.gouv.fr/dataverse/odr_obnvds
https://datadryad.org/dataset/doi:10.5061/dryad.g4f4qrg0p</t>
  </si>
  <si>
    <t>?</t>
  </si>
  <si>
    <t xml:space="preserve">2013 to 2022</t>
  </si>
  <si>
    <t>Municipality</t>
  </si>
  <si>
    <t>duplicated</t>
  </si>
  <si>
    <t xml:space="preserve">dominant crop by municipality”</t>
  </si>
  <si>
    <t xml:space="preserve">same as PS13_CROP_TYPE?</t>
  </si>
  <si>
    <t xml:space="preserve">P_GRA → % of grassland relative to the total area of the municipality (standardized by municipality size)
P_GRA_CROP → % of grassland relative to the total agricultural area (standardized by agricultural area)</t>
  </si>
  <si>
    <t xml:space="preserve">same as PS04_GRASS_AREA?</t>
  </si>
  <si>
    <t xml:space="preserve">P_FOR→ % of forest relative to the total area of the municipality (standardized by municipality size)</t>
  </si>
  <si>
    <t xml:space="preserve">IGN BD TOPO</t>
  </si>
  <si>
    <t xml:space="preserve">same as PS05_FOREST_AREA?</t>
  </si>
  <si>
    <t>https://geoservices.ign.fr/documentation/donnees/vecteur/bdforet</t>
  </si>
  <si>
    <t xml:space="preserve">Agence Bio</t>
  </si>
  <si>
    <t xml:space="preserve">same as PS08_ORG_AREA?</t>
  </si>
  <si>
    <t xml:space="preserve">Antibiotic use reduction</t>
  </si>
  <si>
    <t xml:space="preserve">Antibiotic sales</t>
  </si>
  <si>
    <t xml:space="preserve">Disease frequency or occurence</t>
  </si>
  <si>
    <t xml:space="preserve">Protected area</t>
  </si>
  <si>
    <t xml:space="preserve">% of protected areas (National parks, ZNIEFF, Natura 2000 etc.)</t>
  </si>
  <si>
    <t xml:space="preserve">% of protected area relative to the total area of the municipality</t>
  </si>
  <si>
    <r>
      <rPr>
        <sz val="10"/>
        <rFont val="Arial"/>
      </rPr>
      <t xml:space="preserve">INPN
</t>
    </r>
    <r>
      <rPr>
        <sz val="10"/>
        <color indexed="2"/>
        <rFont val="Arial"/>
      </rPr>
      <t>WDPA?</t>
    </r>
  </si>
  <si>
    <t>PS21_PROTECTED_AREA</t>
  </si>
  <si>
    <t>https://inpn.mnhn.fr/telechargement/cartes-et-information-geographique/nat/natura</t>
  </si>
  <si>
    <t xml:space="preserve">Crop rotation</t>
  </si>
  <si>
    <t xml:space="preserve">to be defined
on how many years? crop type?
there are180 indicators available </t>
  </si>
  <si>
    <t xml:space="preserve">INRAE successions culturales</t>
  </si>
  <si>
    <t>PS22_NCROP</t>
  </si>
  <si>
    <t>https://entrepot.recherche.data.gouv.fr/dataset.xhtml?persistentId=doi:10.57745/DPSBYA</t>
  </si>
  <si>
    <t>indicateurs_successions_2015-2022_v2.xlsx</t>
  </si>
  <si>
    <t>2015-2022</t>
  </si>
  <si>
    <t xml:space="preserve">same as PS22_NCROP?</t>
  </si>
  <si>
    <t xml:space="preserve">Crop diversity</t>
  </si>
  <si>
    <r>
      <rPr>
        <sz val="10"/>
        <rFont val="Arial"/>
      </rPr>
      <t xml:space="preserve">Shannon index
</t>
    </r>
    <r>
      <rPr>
        <sz val="10"/>
        <color indexed="2"/>
        <rFont val="Arial"/>
      </rPr>
      <t xml:space="preserve">how to standardize per crop area / municipality area ?</t>
    </r>
  </si>
  <si>
    <t>PS24_CROP_DIV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</si>
</sst>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1">
    <font>
      <sz val="11.000000"/>
      <color theme="1"/>
      <name val="Calibri"/>
      <scheme val="minor"/>
    </font>
    <font>
      <b/>
      <sz val="10.000000"/>
      <name val="Arial"/>
    </font>
    <font>
      <b/>
      <sz val="10.000000"/>
      <color theme="1"/>
      <name val="Arial"/>
    </font>
    <font>
      <sz val="10.000000"/>
      <name val="Arial"/>
    </font>
    <font>
      <sz val="10.000000"/>
      <color theme="1"/>
      <name val="Arial"/>
    </font>
    <font>
      <sz val="10.000000"/>
      <color theme="8" tint="0"/>
      <name val="Arial"/>
    </font>
    <font>
      <u/>
      <sz val="10.000000"/>
      <name val="Arial"/>
    </font>
    <font>
      <sz val="10.000000"/>
      <color indexed="2"/>
      <name val="Arial"/>
    </font>
    <font>
      <color theme="1"/>
      <name val="Calibri"/>
      <scheme val="minor"/>
    </font>
    <font>
      <u/>
      <sz val="10.000000"/>
      <color indexed="4"/>
      <name val="Arial"/>
    </font>
    <font>
      <u/>
      <sz val="11.000000"/>
      <color theme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theme="2" tint="-0.099978637043366805"/>
        <bgColor theme="2" tint="-0.09997863704336680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rgb="FFE2EFD9"/>
        <bgColor rgb="FFE2EFD9"/>
      </patternFill>
    </fill>
    <fill>
      <patternFill patternType="solid">
        <fgColor theme="5" tint="0.59999389629810485"/>
        <bgColor theme="5" tint="0.5999938962981048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2">
    <xf fontId="0" fillId="0" borderId="0" numFmtId="0" xfId="0"/>
    <xf fontId="0" fillId="0" borderId="0" numFmtId="0" xfId="0" applyAlignment="1">
      <alignment horizontal="center" vertical="center" wrapText="1"/>
    </xf>
    <xf fontId="1" fillId="0" borderId="0" numFmtId="0" xfId="0" applyFont="1" applyAlignment="1">
      <alignment horizontal="center" vertical="center" wrapText="1"/>
    </xf>
    <xf fontId="1" fillId="2" borderId="0" numFmtId="0" xfId="0" applyFont="1" applyFill="1" applyAlignment="1">
      <alignment horizontal="center" vertical="center" wrapText="1"/>
    </xf>
    <xf fontId="1" fillId="3" borderId="0" numFmtId="0" xfId="0" applyFont="1" applyFill="1" applyAlignment="1">
      <alignment horizontal="center" vertical="center" wrapText="1"/>
    </xf>
    <xf fontId="2" fillId="0" borderId="0" numFmtId="0" xfId="0" applyFont="1" applyAlignment="1">
      <alignment horizontal="center" vertical="center" wrapText="1"/>
    </xf>
    <xf fontId="0" fillId="0" borderId="0" numFmtId="0" xfId="0" applyAlignment="1">
      <alignment horizontal="center" vertical="center" wrapText="1"/>
      <protection hidden="0" locked="1"/>
    </xf>
    <xf fontId="0" fillId="4" borderId="0" numFmtId="0" xfId="0" applyFill="1" applyAlignment="1">
      <alignment horizontal="center" vertical="center" wrapText="1"/>
    </xf>
    <xf fontId="3" fillId="4" borderId="0" numFmtId="0" xfId="0" applyFont="1" applyFill="1" applyAlignment="1">
      <alignment horizontal="center" vertical="center" wrapText="1"/>
    </xf>
    <xf fontId="4" fillId="4" borderId="0" numFmtId="0" xfId="0" applyFont="1" applyFill="1" applyAlignment="1">
      <alignment horizontal="center" vertical="center" wrapText="1"/>
    </xf>
    <xf fontId="0" fillId="4" borderId="0" numFmtId="0" xfId="0" applyFill="1" applyAlignment="1">
      <alignment horizontal="center" vertical="center" wrapText="1"/>
      <protection hidden="0" locked="1"/>
    </xf>
    <xf fontId="0" fillId="5" borderId="0" numFmtId="0" xfId="0" applyFill="1" applyAlignment="1">
      <alignment horizontal="center" vertical="center" wrapText="1"/>
    </xf>
    <xf fontId="3" fillId="5" borderId="0" numFmtId="0" xfId="0" applyFont="1" applyFill="1" applyAlignment="1">
      <alignment horizontal="center" vertical="center" wrapText="1"/>
    </xf>
    <xf fontId="5" fillId="5" borderId="0" numFmtId="0" xfId="0" applyFont="1" applyFill="1" applyAlignment="1">
      <alignment horizontal="center" vertical="center" wrapText="1"/>
    </xf>
    <xf fontId="6" fillId="5" borderId="0" numFmtId="0" xfId="0" applyFont="1" applyFill="1" applyAlignment="1">
      <alignment horizontal="center" vertical="center" wrapText="1"/>
    </xf>
    <xf fontId="4" fillId="5" borderId="0" numFmtId="0" xfId="0" applyFont="1" applyFill="1" applyAlignment="1">
      <alignment horizontal="center" vertical="center" wrapText="1"/>
    </xf>
    <xf fontId="0" fillId="5" borderId="0" numFmtId="0" xfId="0" applyFill="1" applyAlignment="1">
      <alignment horizontal="center" vertical="center" wrapText="1"/>
      <protection hidden="0" locked="1"/>
    </xf>
    <xf fontId="0" fillId="6" borderId="0" numFmtId="0" xfId="0" applyFill="1" applyAlignment="1">
      <alignment horizontal="center" vertical="center" wrapText="1"/>
    </xf>
    <xf fontId="3" fillId="6" borderId="0" numFmtId="0" xfId="0" applyFont="1" applyFill="1" applyAlignment="1">
      <alignment horizontal="center" vertical="center" wrapText="1"/>
    </xf>
    <xf fontId="6" fillId="6" borderId="0" numFmtId="0" xfId="0" applyFont="1" applyFill="1" applyAlignment="1">
      <alignment horizontal="center" vertical="center" wrapText="1"/>
    </xf>
    <xf fontId="4" fillId="6" borderId="0" numFmtId="0" xfId="0" applyFont="1" applyFill="1" applyAlignment="1">
      <alignment horizontal="center" vertical="center" wrapText="1"/>
    </xf>
    <xf fontId="0" fillId="6" borderId="0" numFmtId="0" xfId="0" applyFill="1" applyAlignment="1">
      <alignment horizontal="center" vertical="center" wrapText="1"/>
      <protection hidden="0" locked="1"/>
    </xf>
    <xf fontId="0" fillId="7" borderId="0" numFmtId="0" xfId="0" applyFill="1" applyAlignment="1">
      <alignment horizontal="center" vertical="center" wrapText="1"/>
    </xf>
    <xf fontId="3" fillId="7" borderId="0" numFmtId="0" xfId="0" applyFont="1" applyFill="1" applyAlignment="1">
      <alignment horizontal="center" vertical="center" wrapText="1"/>
    </xf>
    <xf fontId="7" fillId="7" borderId="0" numFmtId="0" xfId="0" applyFont="1" applyFill="1" applyAlignment="1">
      <alignment horizontal="center" vertical="center" wrapText="1"/>
    </xf>
    <xf fontId="6" fillId="7" borderId="0" numFmtId="0" xfId="0" applyFont="1" applyFill="1" applyAlignment="1">
      <alignment horizontal="center" vertical="center" wrapText="1"/>
    </xf>
    <xf fontId="4" fillId="7" borderId="0" numFmtId="0" xfId="0" applyFont="1" applyFill="1" applyAlignment="1">
      <alignment horizontal="center" vertical="center" wrapText="1"/>
    </xf>
    <xf fontId="0" fillId="7" borderId="0" numFmtId="0" xfId="0" applyFill="1" applyAlignment="1">
      <alignment horizontal="center" vertical="center" wrapText="1"/>
      <protection hidden="0" locked="1"/>
    </xf>
    <xf fontId="6" fillId="4" borderId="0" numFmtId="0" xfId="0" applyFont="1" applyFill="1" applyAlignment="1">
      <alignment horizontal="center" vertical="center" wrapText="1"/>
    </xf>
    <xf fontId="8" fillId="5" borderId="0" numFmtId="0" xfId="0" applyFont="1" applyFill="1" applyAlignment="1">
      <alignment horizontal="center" vertical="center" wrapText="1"/>
    </xf>
    <xf fontId="9" fillId="5" borderId="0" numFmtId="0" xfId="0" applyFont="1" applyFill="1" applyAlignment="1">
      <alignment horizontal="center" vertical="center" wrapText="1"/>
    </xf>
    <xf fontId="3" fillId="8" borderId="0" numFmtId="0" xfId="0" applyFont="1" applyFill="1" applyAlignment="1">
      <alignment horizontal="center" vertical="center" wrapText="1"/>
    </xf>
    <xf fontId="3" fillId="0" borderId="0" numFmtId="0" xfId="0" applyFont="1" applyAlignment="1">
      <alignment horizontal="center" vertical="center" wrapText="1"/>
    </xf>
    <xf fontId="6" fillId="0" borderId="0" numFmtId="0" xfId="0" applyFont="1" applyAlignment="1">
      <alignment horizontal="center" vertical="center" wrapText="1"/>
    </xf>
    <xf fontId="4" fillId="0" borderId="0" numFmtId="0" xfId="0" applyFont="1" applyAlignment="1">
      <alignment horizontal="center" vertical="center" wrapText="1"/>
    </xf>
    <xf fontId="8" fillId="6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</xf>
    <xf fontId="3" fillId="9" borderId="0" numFmtId="0" xfId="0" applyFont="1" applyFill="1" applyAlignment="1">
      <alignment horizontal="center" vertical="center" wrapText="1"/>
    </xf>
    <xf fontId="6" fillId="9" borderId="0" numFmtId="0" xfId="0" applyFont="1" applyFill="1" applyAlignment="1">
      <alignment horizontal="center" vertical="center" wrapText="1"/>
    </xf>
    <xf fontId="4" fillId="9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  <protection hidden="0" locked="1"/>
    </xf>
    <xf fontId="10" fillId="5" borderId="0" numFmt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elepac.agriculture.gouv.fr/telepac/tbp/accueil/accueil.action" TargetMode="External"/><Relationship  Id="rId10" Type="http://schemas.openxmlformats.org/officeDocument/2006/relationships/hyperlink" Target="https://geoservices.ign.fr/documentation/donnees/vecteur/bdforet" TargetMode="External"/><Relationship  Id="rId11" Type="http://schemas.openxmlformats.org/officeDocument/2006/relationships/hyperlink" Target="https://inpn.mnhn.fr/telechargement/cartes-et-information-geographique/nat/natura" TargetMode="External"/><Relationship  Id="rId12" Type="http://schemas.openxmlformats.org/officeDocument/2006/relationships/hyperlink" Target="https://entrepot.recherche.data.gouv.fr/dataset.xhtml?persistentId=doi:10.57745/DPSBYA" TargetMode="External"/><Relationship  Id="rId2" Type="http://schemas.openxmlformats.org/officeDocument/2006/relationships/hyperlink" Target="https://www.telepac.agriculture.gouv.fr/telepac/tbp/doc/Publication-beneficiaires-2023_notice-mesures.pdf" TargetMode="External"/><Relationship  Id="rId3" Type="http://schemas.openxmlformats.org/officeDocument/2006/relationships/hyperlink" Target="https://geoservices.ign.fr/rpg" TargetMode="External"/><Relationship  Id="rId4" Type="http://schemas.openxmlformats.org/officeDocument/2006/relationships/hyperlink" Target="https://geoservices.ign.fr/sites/default/files/2023-11/IGNF_RPG_2-1.html" TargetMode="External"/><Relationship  Id="rId5" Type="http://schemas.openxmlformats.org/officeDocument/2006/relationships/hyperlink" Target="https://geoservices.ign.fr/bdforet" TargetMode="External"/><Relationship  Id="rId6" Type="http://schemas.openxmlformats.org/officeDocument/2006/relationships/hyperlink" Target="https://www.data.gouv.fr/fr/datasets/annuaire-des-exploitations-certifiees-haute-valeur-environnementale/" TargetMode="External"/><Relationship  Id="rId7" Type="http://schemas.openxmlformats.org/officeDocument/2006/relationships/hyperlink" Target="https://www.data.gouv.fr/fr/datasets/parcelles-en-agriculture-biologique-ab-declarees-a-la-pac/" TargetMode="External"/><Relationship  Id="rId8" Type="http://schemas.openxmlformats.org/officeDocument/2006/relationships/hyperlink" Target="https://rapportage.eaufrance.fr/nitrates/2024" TargetMode="External"/><Relationship  Id="rId9" Type="http://schemas.openxmlformats.org/officeDocument/2006/relationships/hyperlink" Target="https://www.data.gouv.fr/fr/datasets/achats-de-pesticides-par-code-post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cols>
    <col customWidth="1" min="1" max="1" width="15.421875"/>
    <col bestFit="1" min="2" max="2" width="7.57421875"/>
    <col customWidth="1" min="3" max="3" width="19.8515625"/>
    <col customWidth="1" min="4" max="4" width="16.28125"/>
    <col customWidth="1" min="5" max="5" width="31.57421875"/>
    <col customWidth="1" min="6" max="6" width="36.421875"/>
    <col customWidth="1" min="7" max="7" width="32.140625"/>
    <col customWidth="1" min="8" max="8" width="34.421875"/>
    <col customWidth="1" min="10" max="10" width="32.00390625"/>
    <col customWidth="1" min="11" max="11" width="30.57421875"/>
    <col customWidth="1" min="12" max="12" width="24.00390625"/>
    <col customWidth="1" min="13" max="13" width="12.140625"/>
    <col customWidth="1" min="14" max="14" width="25.421875"/>
  </cols>
  <sheetData>
    <row r="1" s="1" customFormat="1" ht="38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/>
      <c r="P1" s="4"/>
      <c r="Q1" s="4"/>
      <c r="R1" s="4"/>
      <c r="S1" s="4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</row>
    <row r="2" s="7" customFormat="1" ht="38.25">
      <c r="A2" s="8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8" t="s">
        <v>19</v>
      </c>
      <c r="G2" s="8"/>
      <c r="H2" s="8" t="s">
        <v>20</v>
      </c>
      <c r="I2" s="8" t="s">
        <v>21</v>
      </c>
      <c r="J2" s="8"/>
      <c r="K2" s="8"/>
      <c r="L2" s="8"/>
      <c r="M2" s="8"/>
      <c r="N2" s="8"/>
      <c r="O2" s="8"/>
      <c r="P2" s="8"/>
      <c r="Q2" s="8"/>
      <c r="R2" s="8"/>
      <c r="S2" s="8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0"/>
    </row>
    <row r="3" s="11" customFormat="1" ht="102">
      <c r="A3" s="12" t="s">
        <v>22</v>
      </c>
      <c r="B3" s="12" t="str">
        <f t="shared" ref="B3:B22" si="0">$B$2</f>
        <v>V1</v>
      </c>
      <c r="C3" s="12" t="s">
        <v>16</v>
      </c>
      <c r="D3" s="12" t="s">
        <v>17</v>
      </c>
      <c r="E3" s="13" t="s">
        <v>23</v>
      </c>
      <c r="F3" s="12" t="s">
        <v>24</v>
      </c>
      <c r="G3" s="12" t="s">
        <v>25</v>
      </c>
      <c r="H3" s="12" t="s">
        <v>26</v>
      </c>
      <c r="I3" s="12" t="s">
        <v>27</v>
      </c>
      <c r="J3" s="14" t="s">
        <v>28</v>
      </c>
      <c r="K3" s="12" t="s">
        <v>29</v>
      </c>
      <c r="L3" s="12" t="s">
        <v>30</v>
      </c>
      <c r="M3" s="12" t="s">
        <v>31</v>
      </c>
      <c r="N3" s="14" t="s">
        <v>32</v>
      </c>
      <c r="O3" s="12"/>
      <c r="P3" s="12"/>
      <c r="Q3" s="12"/>
      <c r="R3" s="12"/>
      <c r="S3" s="12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6"/>
    </row>
    <row r="4" s="7" customFormat="1" ht="55.5" customHeight="1">
      <c r="A4" s="8" t="s">
        <v>14</v>
      </c>
      <c r="B4" s="8" t="str">
        <f t="shared" si="0"/>
        <v>V1</v>
      </c>
      <c r="C4" s="8" t="s">
        <v>16</v>
      </c>
      <c r="D4" s="8" t="s">
        <v>33</v>
      </c>
      <c r="E4" s="8" t="s">
        <v>34</v>
      </c>
      <c r="F4" s="8" t="s">
        <v>35</v>
      </c>
      <c r="G4" s="8"/>
      <c r="H4" s="8" t="s">
        <v>36</v>
      </c>
      <c r="I4" s="8" t="s">
        <v>21</v>
      </c>
      <c r="J4" s="8"/>
      <c r="K4" s="8"/>
      <c r="L4" s="8"/>
      <c r="M4" s="8"/>
      <c r="N4" s="8"/>
      <c r="O4" s="8"/>
      <c r="P4" s="8"/>
      <c r="Q4" s="8"/>
      <c r="R4" s="8"/>
      <c r="S4" s="8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10"/>
    </row>
    <row r="5" s="17" customFormat="1" ht="89.25">
      <c r="A5" s="18" t="s">
        <v>37</v>
      </c>
      <c r="B5" s="18" t="str">
        <f t="shared" si="0"/>
        <v>V1</v>
      </c>
      <c r="C5" s="18" t="s">
        <v>16</v>
      </c>
      <c r="D5" s="18" t="s">
        <v>33</v>
      </c>
      <c r="E5" s="18" t="s">
        <v>38</v>
      </c>
      <c r="F5" s="18" t="s">
        <v>39</v>
      </c>
      <c r="G5" s="18" t="s">
        <v>40</v>
      </c>
      <c r="H5" s="18" t="s">
        <v>41</v>
      </c>
      <c r="I5" s="18" t="s">
        <v>21</v>
      </c>
      <c r="J5" s="19" t="s">
        <v>42</v>
      </c>
      <c r="K5" s="18" t="s">
        <v>43</v>
      </c>
      <c r="L5" s="18" t="s">
        <v>44</v>
      </c>
      <c r="M5" s="18" t="s">
        <v>45</v>
      </c>
      <c r="N5" s="19" t="s">
        <v>46</v>
      </c>
      <c r="O5" s="18"/>
      <c r="P5" s="18"/>
      <c r="Q5" s="18"/>
      <c r="R5" s="18"/>
      <c r="S5" s="18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1"/>
    </row>
    <row r="6" s="22" customFormat="1" ht="51">
      <c r="A6" s="23" t="s">
        <v>47</v>
      </c>
      <c r="B6" s="23" t="str">
        <f t="shared" si="0"/>
        <v>V1</v>
      </c>
      <c r="C6" s="23" t="s">
        <v>16</v>
      </c>
      <c r="D6" s="23" t="s">
        <v>33</v>
      </c>
      <c r="E6" s="23" t="s">
        <v>48</v>
      </c>
      <c r="F6" s="23" t="s">
        <v>49</v>
      </c>
      <c r="G6" s="24" t="s">
        <v>50</v>
      </c>
      <c r="H6" s="23" t="s">
        <v>51</v>
      </c>
      <c r="I6" s="23" t="s">
        <v>21</v>
      </c>
      <c r="J6" s="25" t="s">
        <v>52</v>
      </c>
      <c r="K6" s="23" t="s">
        <v>53</v>
      </c>
      <c r="L6" s="23"/>
      <c r="M6" s="23" t="s">
        <v>54</v>
      </c>
      <c r="N6" s="23"/>
      <c r="O6" s="23"/>
      <c r="P6" s="23"/>
      <c r="Q6" s="23"/>
      <c r="R6" s="23"/>
      <c r="S6" s="23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7"/>
    </row>
    <row r="7" s="7" customFormat="1" ht="38.25">
      <c r="A7" s="8" t="s">
        <v>14</v>
      </c>
      <c r="B7" s="8" t="str">
        <f t="shared" si="0"/>
        <v>V1</v>
      </c>
      <c r="C7" s="8" t="s">
        <v>16</v>
      </c>
      <c r="D7" s="8" t="s">
        <v>33</v>
      </c>
      <c r="E7" s="8" t="s">
        <v>55</v>
      </c>
      <c r="F7" s="8" t="s">
        <v>56</v>
      </c>
      <c r="G7" s="8"/>
      <c r="H7" s="8" t="s">
        <v>57</v>
      </c>
      <c r="I7" s="8" t="s">
        <v>21</v>
      </c>
      <c r="J7" s="28" t="s">
        <v>42</v>
      </c>
      <c r="K7" s="8" t="s">
        <v>43</v>
      </c>
      <c r="L7" s="8" t="s">
        <v>44</v>
      </c>
      <c r="M7" s="8" t="s">
        <v>58</v>
      </c>
      <c r="N7" s="28" t="s">
        <v>46</v>
      </c>
      <c r="O7" s="8"/>
      <c r="P7" s="8"/>
      <c r="Q7" s="8"/>
      <c r="R7" s="8"/>
      <c r="S7" s="8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10"/>
    </row>
    <row r="8" s="11" customFormat="1" ht="38.25">
      <c r="A8" s="12" t="s">
        <v>22</v>
      </c>
      <c r="B8" s="12" t="s">
        <v>59</v>
      </c>
      <c r="C8" s="12" t="s">
        <v>16</v>
      </c>
      <c r="D8" s="12" t="s">
        <v>33</v>
      </c>
      <c r="E8" s="12" t="s">
        <v>60</v>
      </c>
      <c r="F8" s="12" t="s">
        <v>61</v>
      </c>
      <c r="G8" s="12" t="s">
        <v>25</v>
      </c>
      <c r="H8" s="12" t="s">
        <v>62</v>
      </c>
      <c r="I8" s="29" t="s">
        <v>63</v>
      </c>
      <c r="J8" s="30" t="s">
        <v>64</v>
      </c>
      <c r="K8" s="12" t="s">
        <v>65</v>
      </c>
      <c r="L8" s="12" t="s">
        <v>66</v>
      </c>
      <c r="M8" s="12" t="s">
        <v>31</v>
      </c>
      <c r="N8" s="12"/>
      <c r="O8" s="12"/>
      <c r="P8" s="12"/>
      <c r="Q8" s="12"/>
      <c r="R8" s="12"/>
      <c r="S8" s="12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6"/>
    </row>
    <row r="9" s="11" customFormat="1" ht="89.25">
      <c r="A9" s="12" t="s">
        <v>22</v>
      </c>
      <c r="B9" s="12" t="s">
        <v>59</v>
      </c>
      <c r="C9" s="12" t="s">
        <v>16</v>
      </c>
      <c r="D9" s="12" t="s">
        <v>33</v>
      </c>
      <c r="E9" s="12" t="s">
        <v>67</v>
      </c>
      <c r="F9" s="12" t="s">
        <v>68</v>
      </c>
      <c r="G9" s="12" t="s">
        <v>69</v>
      </c>
      <c r="H9" s="12" t="s">
        <v>70</v>
      </c>
      <c r="I9" s="12" t="s">
        <v>21</v>
      </c>
      <c r="J9" s="14" t="s">
        <v>71</v>
      </c>
      <c r="K9" s="12"/>
      <c r="L9" s="12" t="s">
        <v>72</v>
      </c>
      <c r="M9" s="12" t="s">
        <v>45</v>
      </c>
      <c r="N9" s="12"/>
      <c r="O9" s="12"/>
      <c r="P9" s="12"/>
      <c r="Q9" s="12"/>
      <c r="R9" s="12"/>
      <c r="S9" s="12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6"/>
    </row>
    <row r="10" s="11" customFormat="1" ht="114.75">
      <c r="A10" s="12" t="s">
        <v>22</v>
      </c>
      <c r="B10" s="12" t="s">
        <v>59</v>
      </c>
      <c r="C10" s="12" t="s">
        <v>16</v>
      </c>
      <c r="D10" s="12" t="s">
        <v>33</v>
      </c>
      <c r="E10" s="12" t="s">
        <v>73</v>
      </c>
      <c r="F10" s="12" t="s">
        <v>74</v>
      </c>
      <c r="G10" s="12" t="s">
        <v>40</v>
      </c>
      <c r="H10" s="12" t="s">
        <v>75</v>
      </c>
      <c r="I10" s="12" t="s">
        <v>21</v>
      </c>
      <c r="J10" s="14" t="s">
        <v>42</v>
      </c>
      <c r="K10" s="12" t="s">
        <v>43</v>
      </c>
      <c r="L10" s="12" t="s">
        <v>44</v>
      </c>
      <c r="M10" s="12" t="s">
        <v>45</v>
      </c>
      <c r="N10" s="14" t="s">
        <v>46</v>
      </c>
      <c r="O10" s="12"/>
      <c r="P10" s="12"/>
      <c r="Q10" s="12"/>
      <c r="R10" s="12"/>
      <c r="S10" s="12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6"/>
    </row>
    <row r="11" s="22" customFormat="1" ht="76.5">
      <c r="A11" s="23" t="s">
        <v>47</v>
      </c>
      <c r="B11" s="23" t="str">
        <f t="shared" si="0"/>
        <v>V1</v>
      </c>
      <c r="C11" s="23" t="s">
        <v>16</v>
      </c>
      <c r="D11" s="23" t="s">
        <v>76</v>
      </c>
      <c r="E11" s="23" t="s">
        <v>77</v>
      </c>
      <c r="F11" s="23" t="s">
        <v>78</v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7"/>
    </row>
    <row r="12" s="22" customFormat="1" ht="25.5">
      <c r="A12" s="23" t="s">
        <v>47</v>
      </c>
      <c r="B12" s="23" t="str">
        <f t="shared" si="0"/>
        <v>V1</v>
      </c>
      <c r="C12" s="23" t="s">
        <v>16</v>
      </c>
      <c r="D12" s="23" t="s">
        <v>76</v>
      </c>
      <c r="E12" s="23" t="s">
        <v>79</v>
      </c>
      <c r="F12" s="23" t="s">
        <v>80</v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7"/>
    </row>
    <row r="13" s="1" customFormat="1" ht="114.75">
      <c r="A13" s="31" t="s">
        <v>37</v>
      </c>
      <c r="B13" s="31" t="s">
        <v>59</v>
      </c>
      <c r="C13" s="31" t="s">
        <v>16</v>
      </c>
      <c r="D13" s="31" t="s">
        <v>76</v>
      </c>
      <c r="E13" s="31" t="s">
        <v>81</v>
      </c>
      <c r="F13" s="32" t="s">
        <v>82</v>
      </c>
      <c r="G13" s="32" t="s">
        <v>83</v>
      </c>
      <c r="H13" s="32" t="s">
        <v>84</v>
      </c>
      <c r="I13" s="32"/>
      <c r="J13" s="33" t="s">
        <v>85</v>
      </c>
      <c r="K13" s="32" t="s">
        <v>86</v>
      </c>
      <c r="L13" s="32" t="s">
        <v>87</v>
      </c>
      <c r="M13" s="32" t="s">
        <v>88</v>
      </c>
      <c r="N13" s="32"/>
      <c r="O13" s="32"/>
      <c r="P13" s="32"/>
      <c r="Q13" s="32"/>
      <c r="R13" s="32"/>
      <c r="S13" s="32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6"/>
    </row>
    <row r="14" s="17" customFormat="1" ht="38.25">
      <c r="A14" s="18" t="s">
        <v>37</v>
      </c>
      <c r="B14" s="18" t="str">
        <f t="shared" si="0"/>
        <v>V1</v>
      </c>
      <c r="C14" s="18" t="s">
        <v>16</v>
      </c>
      <c r="D14" s="18" t="s">
        <v>76</v>
      </c>
      <c r="E14" s="18" t="s">
        <v>89</v>
      </c>
      <c r="F14" s="18" t="s">
        <v>90</v>
      </c>
      <c r="G14" s="18" t="s">
        <v>40</v>
      </c>
      <c r="H14" s="18" t="s">
        <v>91</v>
      </c>
      <c r="I14" s="35" t="s">
        <v>63</v>
      </c>
      <c r="J14" s="19" t="s">
        <v>42</v>
      </c>
      <c r="K14" s="18" t="s">
        <v>43</v>
      </c>
      <c r="L14" s="18" t="s">
        <v>44</v>
      </c>
      <c r="M14" s="18" t="s">
        <v>58</v>
      </c>
      <c r="N14" s="19" t="s">
        <v>46</v>
      </c>
      <c r="O14" s="18"/>
      <c r="P14" s="18"/>
      <c r="Q14" s="18"/>
      <c r="R14" s="18"/>
      <c r="S14" s="18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1"/>
    </row>
    <row r="15" s="11" customFormat="1" ht="165.75">
      <c r="A15" s="12" t="s">
        <v>22</v>
      </c>
      <c r="B15" s="12" t="str">
        <f t="shared" si="0"/>
        <v>V1</v>
      </c>
      <c r="C15" s="12" t="s">
        <v>16</v>
      </c>
      <c r="D15" s="12" t="s">
        <v>92</v>
      </c>
      <c r="E15" s="12" t="s">
        <v>93</v>
      </c>
      <c r="F15" s="12" t="s">
        <v>94</v>
      </c>
      <c r="G15" s="12" t="s">
        <v>95</v>
      </c>
      <c r="H15" s="12" t="s">
        <v>96</v>
      </c>
      <c r="I15" s="29" t="s">
        <v>97</v>
      </c>
      <c r="J15" s="14" t="s">
        <v>98</v>
      </c>
      <c r="K15" s="12" t="s">
        <v>99</v>
      </c>
      <c r="L15" s="12" t="s">
        <v>100</v>
      </c>
      <c r="M15" s="12" t="s">
        <v>101</v>
      </c>
      <c r="N15" s="12"/>
      <c r="O15" s="12"/>
      <c r="P15" s="12"/>
      <c r="Q15" s="12"/>
      <c r="R15" s="12"/>
      <c r="S15" s="12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6"/>
    </row>
    <row r="16" s="36" customFormat="1" ht="38.25">
      <c r="A16" s="37" t="s">
        <v>102</v>
      </c>
      <c r="B16" s="37" t="str">
        <f t="shared" si="0"/>
        <v>V1</v>
      </c>
      <c r="C16" s="37" t="s">
        <v>16</v>
      </c>
      <c r="D16" s="37" t="s">
        <v>92</v>
      </c>
      <c r="E16" s="37" t="s">
        <v>89</v>
      </c>
      <c r="F16" s="37" t="s">
        <v>103</v>
      </c>
      <c r="G16" s="37" t="s">
        <v>40</v>
      </c>
      <c r="H16" s="37" t="s">
        <v>104</v>
      </c>
      <c r="I16" s="37" t="s">
        <v>63</v>
      </c>
      <c r="J16" s="38" t="s">
        <v>42</v>
      </c>
      <c r="K16" s="37" t="s">
        <v>43</v>
      </c>
      <c r="L16" s="37" t="s">
        <v>44</v>
      </c>
      <c r="M16" s="37" t="s">
        <v>58</v>
      </c>
      <c r="N16" s="38" t="s">
        <v>46</v>
      </c>
      <c r="O16" s="37"/>
      <c r="P16" s="37"/>
      <c r="Q16" s="37"/>
      <c r="R16" s="37"/>
      <c r="S16" s="37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</row>
    <row r="17" s="36" customFormat="1" ht="89.25">
      <c r="A17" s="37" t="s">
        <v>102</v>
      </c>
      <c r="B17" s="37" t="str">
        <f t="shared" si="0"/>
        <v>V1</v>
      </c>
      <c r="C17" s="37" t="s">
        <v>16</v>
      </c>
      <c r="D17" s="37" t="s">
        <v>92</v>
      </c>
      <c r="E17" s="37" t="s">
        <v>38</v>
      </c>
      <c r="F17" s="37" t="s">
        <v>105</v>
      </c>
      <c r="G17" s="37" t="s">
        <v>40</v>
      </c>
      <c r="H17" s="37" t="s">
        <v>106</v>
      </c>
      <c r="I17" s="37" t="s">
        <v>21</v>
      </c>
      <c r="J17" s="38" t="s">
        <v>42</v>
      </c>
      <c r="K17" s="37" t="s">
        <v>43</v>
      </c>
      <c r="L17" s="37" t="s">
        <v>44</v>
      </c>
      <c r="M17" s="37" t="s">
        <v>58</v>
      </c>
      <c r="N17" s="38" t="s">
        <v>46</v>
      </c>
      <c r="O17" s="37"/>
      <c r="P17" s="37"/>
      <c r="Q17" s="37"/>
      <c r="R17" s="37"/>
      <c r="S17" s="37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</row>
    <row r="18" s="36" customFormat="1" ht="38.25">
      <c r="A18" s="37" t="s">
        <v>102</v>
      </c>
      <c r="B18" s="37" t="str">
        <f t="shared" si="0"/>
        <v>V1</v>
      </c>
      <c r="C18" s="37" t="s">
        <v>16</v>
      </c>
      <c r="D18" s="37" t="s">
        <v>92</v>
      </c>
      <c r="E18" s="37" t="s">
        <v>48</v>
      </c>
      <c r="F18" s="37" t="s">
        <v>107</v>
      </c>
      <c r="G18" s="37" t="s">
        <v>108</v>
      </c>
      <c r="H18" s="37" t="s">
        <v>109</v>
      </c>
      <c r="I18" s="37" t="s">
        <v>21</v>
      </c>
      <c r="J18" s="38" t="s">
        <v>52</v>
      </c>
      <c r="K18" s="37" t="s">
        <v>53</v>
      </c>
      <c r="L18" s="37"/>
      <c r="M18" s="37"/>
      <c r="N18" s="38" t="s">
        <v>110</v>
      </c>
      <c r="O18" s="37"/>
      <c r="P18" s="37"/>
      <c r="Q18" s="37"/>
      <c r="R18" s="37"/>
      <c r="S18" s="37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</row>
    <row r="19" s="36" customFormat="1" ht="89.25">
      <c r="A19" s="37" t="s">
        <v>102</v>
      </c>
      <c r="B19" s="37" t="str">
        <f t="shared" si="0"/>
        <v>V1</v>
      </c>
      <c r="C19" s="37" t="s">
        <v>16</v>
      </c>
      <c r="D19" s="37" t="s">
        <v>92</v>
      </c>
      <c r="E19" s="37" t="s">
        <v>67</v>
      </c>
      <c r="F19" s="37" t="s">
        <v>68</v>
      </c>
      <c r="G19" s="37" t="s">
        <v>111</v>
      </c>
      <c r="H19" s="37" t="s">
        <v>112</v>
      </c>
      <c r="I19" s="37" t="s">
        <v>21</v>
      </c>
      <c r="J19" s="38" t="s">
        <v>71</v>
      </c>
      <c r="K19" s="37"/>
      <c r="L19" s="37" t="s">
        <v>72</v>
      </c>
      <c r="M19" s="37" t="s">
        <v>58</v>
      </c>
      <c r="N19" s="37"/>
      <c r="O19" s="37"/>
      <c r="P19" s="37"/>
      <c r="Q19" s="37"/>
      <c r="R19" s="37"/>
      <c r="S19" s="37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</row>
    <row r="20" s="22" customFormat="1" ht="25.5">
      <c r="A20" s="23" t="s">
        <v>47</v>
      </c>
      <c r="B20" s="23" t="str">
        <f t="shared" si="0"/>
        <v>V1</v>
      </c>
      <c r="C20" s="23" t="s">
        <v>16</v>
      </c>
      <c r="D20" s="23" t="s">
        <v>113</v>
      </c>
      <c r="E20" s="23" t="s">
        <v>114</v>
      </c>
      <c r="F20" s="23" t="s">
        <v>80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7"/>
    </row>
    <row r="21" s="22" customFormat="1" ht="25.5">
      <c r="A21" s="23" t="s">
        <v>47</v>
      </c>
      <c r="B21" s="23" t="str">
        <f t="shared" si="0"/>
        <v>V1</v>
      </c>
      <c r="C21" s="23" t="s">
        <v>16</v>
      </c>
      <c r="D21" s="23" t="s">
        <v>113</v>
      </c>
      <c r="E21" s="23" t="s">
        <v>115</v>
      </c>
      <c r="F21" s="23" t="s">
        <v>80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7"/>
    </row>
    <row r="22" s="11" customFormat="1" ht="38.25">
      <c r="A22" s="12" t="s">
        <v>37</v>
      </c>
      <c r="B22" s="12" t="str">
        <f t="shared" si="0"/>
        <v>V1</v>
      </c>
      <c r="C22" s="12" t="s">
        <v>16</v>
      </c>
      <c r="D22" s="12" t="s">
        <v>116</v>
      </c>
      <c r="E22" s="12" t="s">
        <v>117</v>
      </c>
      <c r="F22" s="12" t="s">
        <v>118</v>
      </c>
      <c r="G22" s="12" t="s">
        <v>119</v>
      </c>
      <c r="H22" s="12" t="s">
        <v>120</v>
      </c>
      <c r="I22" s="12" t="s">
        <v>21</v>
      </c>
      <c r="J22" s="14" t="s">
        <v>121</v>
      </c>
      <c r="K22" s="29"/>
      <c r="L22" s="12"/>
      <c r="M22" s="12" t="s">
        <v>54</v>
      </c>
      <c r="N22" s="12"/>
      <c r="O22" s="12"/>
      <c r="P22" s="12"/>
      <c r="Q22" s="12"/>
      <c r="R22" s="12"/>
      <c r="S22" s="12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6"/>
    </row>
    <row r="23" s="11" customFormat="1" ht="42.75">
      <c r="A23" s="12" t="s">
        <v>22</v>
      </c>
      <c r="B23" s="12" t="s">
        <v>59</v>
      </c>
      <c r="C23" s="12" t="s">
        <v>16</v>
      </c>
      <c r="D23" s="12" t="s">
        <v>92</v>
      </c>
      <c r="E23" s="12" t="s">
        <v>122</v>
      </c>
      <c r="F23" s="13" t="s">
        <v>123</v>
      </c>
      <c r="G23" s="13" t="s">
        <v>124</v>
      </c>
      <c r="H23" s="12" t="s">
        <v>125</v>
      </c>
      <c r="I23" s="12"/>
      <c r="J23" s="41" t="s">
        <v>126</v>
      </c>
      <c r="K23" s="12" t="s">
        <v>127</v>
      </c>
      <c r="L23" s="12" t="s">
        <v>128</v>
      </c>
      <c r="M23" s="12" t="s">
        <v>31</v>
      </c>
      <c r="N23" s="14"/>
      <c r="O23" s="12"/>
      <c r="P23" s="12"/>
      <c r="Q23" s="12"/>
      <c r="R23" s="12"/>
      <c r="S23" s="12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6"/>
    </row>
    <row r="24" s="36" customFormat="1" ht="25.5">
      <c r="A24" s="37" t="s">
        <v>102</v>
      </c>
      <c r="B24" s="39" t="s">
        <v>59</v>
      </c>
      <c r="C24" s="39" t="s">
        <v>16</v>
      </c>
      <c r="D24" s="39" t="s">
        <v>76</v>
      </c>
      <c r="E24" s="39" t="s">
        <v>122</v>
      </c>
      <c r="F24" s="37" t="s">
        <v>47</v>
      </c>
      <c r="G24" s="37" t="s">
        <v>40</v>
      </c>
      <c r="H24" s="37" t="s">
        <v>129</v>
      </c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</row>
    <row r="25" s="11" customFormat="1" ht="38.25">
      <c r="A25" s="12" t="s">
        <v>22</v>
      </c>
      <c r="B25" s="12" t="s">
        <v>59</v>
      </c>
      <c r="C25" s="12" t="s">
        <v>16</v>
      </c>
      <c r="D25" s="12" t="s">
        <v>17</v>
      </c>
      <c r="E25" s="12" t="s">
        <v>130</v>
      </c>
      <c r="F25" s="12" t="s">
        <v>131</v>
      </c>
      <c r="G25" s="12" t="s">
        <v>40</v>
      </c>
      <c r="H25" s="12" t="s">
        <v>132</v>
      </c>
      <c r="I25" s="12" t="s">
        <v>63</v>
      </c>
      <c r="J25" s="14" t="s">
        <v>42</v>
      </c>
      <c r="K25" s="12" t="s">
        <v>43</v>
      </c>
      <c r="L25" s="12" t="s">
        <v>44</v>
      </c>
      <c r="M25" s="12" t="s">
        <v>58</v>
      </c>
      <c r="N25" s="14" t="s">
        <v>46</v>
      </c>
      <c r="O25" s="12"/>
      <c r="P25" s="12"/>
      <c r="Q25" s="12"/>
      <c r="R25" s="12"/>
      <c r="S25" s="12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6"/>
    </row>
  </sheetData>
  <hyperlinks>
    <hyperlink r:id="rId1" ref="J3"/>
    <hyperlink r:id="rId2" ref="N3"/>
    <hyperlink r:id="rId3" ref="J5"/>
    <hyperlink r:id="rId4" ref="N5"/>
    <hyperlink r:id="rId5" ref="J6"/>
    <hyperlink r:id="rId3" ref="J7"/>
    <hyperlink r:id="rId4" ref="N7"/>
    <hyperlink r:id="rId6" ref="J8"/>
    <hyperlink r:id="rId7" ref="J9"/>
    <hyperlink r:id="rId3" ref="J10"/>
    <hyperlink r:id="rId4" ref="N10"/>
    <hyperlink r:id="rId8" ref="J13"/>
    <hyperlink r:id="rId3" ref="J14"/>
    <hyperlink r:id="rId4" ref="N14"/>
    <hyperlink r:id="rId9" ref="J15"/>
    <hyperlink r:id="rId3" ref="J16"/>
    <hyperlink r:id="rId4" ref="N16"/>
    <hyperlink r:id="rId3" ref="J17"/>
    <hyperlink r:id="rId4" ref="N17"/>
    <hyperlink r:id="rId5" ref="J18"/>
    <hyperlink r:id="rId10" ref="N18"/>
    <hyperlink r:id="rId7" ref="J19"/>
    <hyperlink r:id="rId11" ref="J22"/>
    <hyperlink r:id="rId12" ref="J23"/>
    <hyperlink r:id="rId3" ref="J25"/>
    <hyperlink r:id="rId4" ref="N25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2026-04-15T13:21:37Z</dcterms:modified>
</cp:coreProperties>
</file>